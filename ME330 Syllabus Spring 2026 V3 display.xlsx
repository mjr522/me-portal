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dcope\OneDrive - Texas A&amp;M University\Academic Courses\USAFA DFME Courses\"/>
    </mc:Choice>
  </mc:AlternateContent>
  <xr:revisionPtr revIDLastSave="28" documentId="8_{D637D73D-5D1B-42A2-BAF1-E04EA994C1F7}" xr6:coauthVersionLast="36" xr6:coauthVersionMax="47" xr10:uidLastSave="{E05496EC-7F7B-467E-8F39-782F24BD5BC6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1'!$A$1:$F$54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" l="1"/>
  <c r="E53" i="1" l="1"/>
  <c r="E52" i="1"/>
  <c r="E49" i="1"/>
  <c r="E51" i="1" l="1"/>
  <c r="E48" i="1"/>
  <c r="E50" i="1"/>
  <c r="E47" i="1"/>
  <c r="E46" i="1"/>
</calcChain>
</file>

<file path=xl/sharedStrings.xml><?xml version="1.0" encoding="utf-8"?>
<sst xmlns="http://schemas.openxmlformats.org/spreadsheetml/2006/main" count="156" uniqueCount="152">
  <si>
    <t>Lesson</t>
  </si>
  <si>
    <t>Topic</t>
  </si>
  <si>
    <t>Required Reading</t>
  </si>
  <si>
    <t>Recommended Problems and Assignments</t>
  </si>
  <si>
    <t xml:space="preserve">Review </t>
  </si>
  <si>
    <t>Course Overview &amp; Academic Policies Review of Statics, Normal &amp; Shear Stresses, Problem Solving</t>
  </si>
  <si>
    <t>Course Package,                     Review ME 220,                        Ch. 8.1, 8.3 - 4</t>
  </si>
  <si>
    <t>Concept  of  Stress</t>
  </si>
  <si>
    <t xml:space="preserve"> Components of Stresses, Stress Elements, Bearing Stresses, Factor of Safety</t>
  </si>
  <si>
    <t>Ch. 8.1, 8.3 - 4</t>
  </si>
  <si>
    <r>
      <t>Problems:</t>
    </r>
    <r>
      <rPr>
        <sz val="8"/>
        <color rgb="FF000000"/>
        <rFont val="Arial"/>
        <family val="2"/>
      </rPr>
      <t xml:space="preserve"> 8.20, 21, 23, 24</t>
    </r>
  </si>
  <si>
    <t>Connect Orientation</t>
  </si>
  <si>
    <t>Axial Loading</t>
  </si>
  <si>
    <t xml:space="preserve">Axial Loading. Stress and Strain. Statically Indeterminate Problems I </t>
  </si>
  <si>
    <t>Ch.9.1,  9.2</t>
  </si>
  <si>
    <t>Fundamental Skills Review</t>
  </si>
  <si>
    <t>Statically Indeterminate Problems  II. Thermal Stresses</t>
  </si>
  <si>
    <t>Ch. 9.3</t>
  </si>
  <si>
    <r>
      <rPr>
        <b/>
        <sz val="8"/>
        <color rgb="FF000000"/>
        <rFont val="Arial"/>
        <family val="2"/>
      </rPr>
      <t>Problems</t>
    </r>
    <r>
      <rPr>
        <sz val="8"/>
        <color rgb="FF000000"/>
        <rFont val="Arial"/>
        <family val="2"/>
      </rPr>
      <t>: 9.37, 39, 41, 45</t>
    </r>
  </si>
  <si>
    <t xml:space="preserve"> HW Set 1,                                                                                                           8.2, 8.5, 8.20</t>
  </si>
  <si>
    <t>Statically Indeterminate Problems  Practice</t>
  </si>
  <si>
    <t>Ch. 9.1 - 9.3</t>
  </si>
  <si>
    <r>
      <rPr>
        <b/>
        <sz val="8"/>
        <color theme="1"/>
        <rFont val="Arial"/>
        <family val="2"/>
      </rPr>
      <t>Problems</t>
    </r>
    <r>
      <rPr>
        <sz val="8"/>
        <color theme="1"/>
        <rFont val="Arial"/>
        <family val="2"/>
      </rPr>
      <t>: 9.34, 9.38, 9.42</t>
    </r>
  </si>
  <si>
    <t>Poisson’s Ratio. Generalized Hooke’s Law. Shearing Strain</t>
  </si>
  <si>
    <t>Ch.9.4 - 6</t>
  </si>
  <si>
    <r>
      <t>Problems:</t>
    </r>
    <r>
      <rPr>
        <sz val="8"/>
        <color rgb="FF000000"/>
        <rFont val="Arial"/>
        <family val="2"/>
      </rPr>
      <t xml:space="preserve"> 9.49, 52, 54, 55</t>
    </r>
  </si>
  <si>
    <t>HW Set 2,                           9.21, 9.41, 9.45</t>
  </si>
  <si>
    <t>Ch.9.8 - 9</t>
  </si>
  <si>
    <r>
      <t>Problems:</t>
    </r>
    <r>
      <rPr>
        <sz val="8"/>
        <color rgb="FF000000"/>
        <rFont val="Arial"/>
        <family val="2"/>
      </rPr>
      <t xml:space="preserve"> 9.66, 67, 71</t>
    </r>
  </si>
  <si>
    <t>Torsion</t>
  </si>
  <si>
    <t>Torsion. Shearing Stresses.  Angle of Twist and Shearing Strain, GR 1 Review</t>
  </si>
  <si>
    <t>Ch.10.1 - 2</t>
  </si>
  <si>
    <r>
      <t>Problems</t>
    </r>
    <r>
      <rPr>
        <sz val="8"/>
        <color rgb="FF000000"/>
        <rFont val="Arial"/>
        <family val="2"/>
      </rPr>
      <t>: 10.11, 15, 19, 26, 30, 32</t>
    </r>
  </si>
  <si>
    <t>Bending</t>
  </si>
  <si>
    <t xml:space="preserve">Pure Bending. Stresses and Deformation in the elastic range. Flexure Formula </t>
  </si>
  <si>
    <t>Ch.11.1 - 2</t>
  </si>
  <si>
    <r>
      <t xml:space="preserve">Problems: </t>
    </r>
    <r>
      <rPr>
        <sz val="8"/>
        <color rgb="FF000000"/>
        <rFont val="Arial"/>
        <family val="2"/>
      </rPr>
      <t>11.3, 9, 18-20</t>
    </r>
  </si>
  <si>
    <t>Eccentric Axial Loading in a Plane of Symmetry</t>
  </si>
  <si>
    <t xml:space="preserve">Ch. 11.4 </t>
  </si>
  <si>
    <r>
      <rPr>
        <b/>
        <sz val="8"/>
        <color rgb="FF000000"/>
        <rFont val="Arial"/>
        <family val="2"/>
      </rPr>
      <t>Problems</t>
    </r>
    <r>
      <rPr>
        <sz val="8"/>
        <color rgb="FF000000"/>
        <rFont val="Arial"/>
        <family val="2"/>
      </rPr>
      <t>: 11.52, 55, 66</t>
    </r>
  </si>
  <si>
    <t>Project 1</t>
  </si>
  <si>
    <t xml:space="preserve">Unsymmetric Bending </t>
  </si>
  <si>
    <t>Ch. 11.5</t>
  </si>
  <si>
    <t>HW Set 4,                                           10.32, 11.19, 11.55</t>
  </si>
  <si>
    <t xml:space="preserve">Analysis of Beams for Bending. V-M Diagrams </t>
  </si>
  <si>
    <t>Ch. 12.1</t>
  </si>
  <si>
    <t>V-M Diagrams. Relations among Load, Shear Force, and Bending Moment.</t>
  </si>
  <si>
    <t>Ch. 12.2-3</t>
  </si>
  <si>
    <r>
      <t xml:space="preserve">Problems: </t>
    </r>
    <r>
      <rPr>
        <sz val="8"/>
        <color rgb="FF000000"/>
        <rFont val="Arial"/>
        <family val="2"/>
      </rPr>
      <t>12.32, 36, 45, 55, 65, 74</t>
    </r>
  </si>
  <si>
    <t xml:space="preserve">V-M Equation Development and Diagram Practice </t>
  </si>
  <si>
    <t>Ch. 12.1-3</t>
  </si>
  <si>
    <t>Ch. 13.1-3</t>
  </si>
  <si>
    <r>
      <t xml:space="preserve">Problems: </t>
    </r>
    <r>
      <rPr>
        <sz val="8"/>
        <color rgb="FF000000"/>
        <rFont val="Arial"/>
        <family val="2"/>
      </rPr>
      <t>13.10, 15, 20,</t>
    </r>
  </si>
  <si>
    <t>Stress Transformation</t>
  </si>
  <si>
    <t>Stresses on an Oblique Plane.</t>
  </si>
  <si>
    <t xml:space="preserve">Ch.8.2 </t>
  </si>
  <si>
    <r>
      <rPr>
        <b/>
        <sz val="8"/>
        <color rgb="FF000000"/>
        <rFont val="Arial"/>
        <family val="2"/>
      </rPr>
      <t>Problems:</t>
    </r>
    <r>
      <rPr>
        <sz val="8"/>
        <color rgb="FF000000"/>
        <rFont val="Arial"/>
        <family val="2"/>
      </rPr>
      <t xml:space="preserve"> 8.25-28, 29, 31</t>
    </r>
  </si>
  <si>
    <t>HW Set 6,                          12.74, 13.10, 13.20</t>
  </si>
  <si>
    <t>Transformation of Plane Stress</t>
  </si>
  <si>
    <t>Ch. 14.1A</t>
  </si>
  <si>
    <t>Principal and Max Shearing Stresses. Mohr’s Circle for Plane Stress</t>
  </si>
  <si>
    <t>Ch.14.1B, 14.2</t>
  </si>
  <si>
    <r>
      <rPr>
        <b/>
        <sz val="8"/>
        <color rgb="FF000000"/>
        <rFont val="Arial"/>
        <family val="2"/>
      </rPr>
      <t>Problems:</t>
    </r>
    <r>
      <rPr>
        <sz val="8"/>
        <color rgb="FF000000"/>
        <rFont val="Arial"/>
        <family val="2"/>
      </rPr>
      <t xml:space="preserve"> 14.26, 32, 36</t>
    </r>
  </si>
  <si>
    <t xml:space="preserve">Mohr’s Circle. Solving Problems </t>
  </si>
  <si>
    <t>Ch. 14.2</t>
  </si>
  <si>
    <r>
      <t xml:space="preserve">Problems: </t>
    </r>
    <r>
      <rPr>
        <sz val="8"/>
        <color rgb="FF000000"/>
        <rFont val="Arial"/>
        <family val="2"/>
      </rPr>
      <t>14.35, 40, 41, 43</t>
    </r>
  </si>
  <si>
    <t>Application of Mohr’s Circle to the 3-D Analysis of Stress, GR 2 Review</t>
  </si>
  <si>
    <t>Supplemental Material S7.4</t>
  </si>
  <si>
    <r>
      <t>Problems: S</t>
    </r>
    <r>
      <rPr>
        <sz val="8"/>
        <color rgb="FF000000"/>
        <rFont val="Arial"/>
        <family val="2"/>
      </rPr>
      <t>upplemental</t>
    </r>
    <r>
      <rPr>
        <b/>
        <sz val="8"/>
        <color rgb="FF000000"/>
        <rFont val="Arial"/>
        <family val="2"/>
      </rPr>
      <t xml:space="preserve"> (S</t>
    </r>
    <r>
      <rPr>
        <sz val="8"/>
        <color rgb="FF000000"/>
        <rFont val="Arial"/>
        <family val="2"/>
      </rPr>
      <t>7.67 (b), 69(a), 74 (a))</t>
    </r>
  </si>
  <si>
    <t>HW Set 7,                                       8.31, 14.32, 14.41</t>
  </si>
  <si>
    <t>Strain Transform</t>
  </si>
  <si>
    <t>Measurements of Strain. Strain Rosettes</t>
  </si>
  <si>
    <t>Supplemental Material S7.7- S7.9</t>
  </si>
  <si>
    <r>
      <rPr>
        <b/>
        <sz val="8"/>
        <color rgb="FF000000"/>
        <rFont val="Arial"/>
        <family val="2"/>
      </rPr>
      <t>Problems:</t>
    </r>
    <r>
      <rPr>
        <sz val="8"/>
        <color rgb="FF000000"/>
        <rFont val="Arial"/>
        <family val="2"/>
      </rPr>
      <t xml:space="preserve"> Supplemental (S7.128, 136, 145, 152)</t>
    </r>
  </si>
  <si>
    <t>Combined Loading</t>
  </si>
  <si>
    <t>Thin Walled Pressure Vessels</t>
  </si>
  <si>
    <r>
      <t>Problems</t>
    </r>
    <r>
      <rPr>
        <sz val="8"/>
        <color rgb="FF000000"/>
        <rFont val="Arial"/>
        <family val="2"/>
      </rPr>
      <t>: 14.50, 52, 55, 63, 69</t>
    </r>
  </si>
  <si>
    <t>Combined Loading I. Stresses Under Combined Loads</t>
  </si>
  <si>
    <r>
      <t xml:space="preserve">HW Set 8 </t>
    </r>
    <r>
      <rPr>
        <sz val="8"/>
        <color rgb="FFFF0000"/>
        <rFont val="Arial"/>
        <family val="2"/>
      </rPr>
      <t xml:space="preserve">  </t>
    </r>
    <r>
      <rPr>
        <sz val="8"/>
        <color rgb="FF000000"/>
        <rFont val="Arial"/>
        <family val="2"/>
      </rPr>
      <t xml:space="preserve">                   S7.136, S7.145, 14.69</t>
    </r>
  </si>
  <si>
    <t xml:space="preserve">Combined Loading Lab      </t>
  </si>
  <si>
    <t>Lab Handout</t>
  </si>
  <si>
    <t>Combined Loading Pre-Lab</t>
  </si>
  <si>
    <r>
      <t>Beam Deflection</t>
    </r>
    <r>
      <rPr>
        <sz val="8"/>
        <color rgb="FF000000"/>
        <rFont val="Arial"/>
        <family val="2"/>
      </rPr>
      <t> </t>
    </r>
  </si>
  <si>
    <t>Beam Deflection Derivation</t>
  </si>
  <si>
    <t>Ch. 15.1</t>
  </si>
  <si>
    <r>
      <t xml:space="preserve">Problems: </t>
    </r>
    <r>
      <rPr>
        <sz val="8"/>
        <color rgb="FF000000"/>
        <rFont val="Arial"/>
        <family val="2"/>
      </rPr>
      <t>15.5, 7, 9</t>
    </r>
  </si>
  <si>
    <r>
      <t xml:space="preserve">Problems: </t>
    </r>
    <r>
      <rPr>
        <sz val="8"/>
        <color rgb="FF000000"/>
        <rFont val="Arial"/>
        <family val="2"/>
      </rPr>
      <t>15.18, 19, 55</t>
    </r>
  </si>
  <si>
    <t>Method of Superposition</t>
  </si>
  <si>
    <t>Ch. 15.3</t>
  </si>
  <si>
    <r>
      <t>Problems: 15.32</t>
    </r>
    <r>
      <rPr>
        <sz val="8"/>
        <color rgb="FF000000"/>
        <rFont val="Arial"/>
        <family val="2"/>
      </rPr>
      <t>, 35, 39, 42</t>
    </r>
  </si>
  <si>
    <t>Ch 15.1-3</t>
  </si>
  <si>
    <t>FEA</t>
  </si>
  <si>
    <t>Modern Analysis Tools: Intro to Finite Element Analysis</t>
  </si>
  <si>
    <t>Lecture Slides</t>
  </si>
  <si>
    <t xml:space="preserve"> Euler Buckling</t>
  </si>
  <si>
    <t>Ch. 16.1A</t>
  </si>
  <si>
    <r>
      <t xml:space="preserve">Problems: </t>
    </r>
    <r>
      <rPr>
        <sz val="8"/>
        <color rgb="FF000000"/>
        <rFont val="Arial"/>
        <family val="2"/>
      </rPr>
      <t>16.7, 8, 11</t>
    </r>
  </si>
  <si>
    <t>Extension of Euler’s Formula to Columns with Other End Conditions</t>
  </si>
  <si>
    <t>Ch. 16.1B</t>
  </si>
  <si>
    <r>
      <t xml:space="preserve">Problems: </t>
    </r>
    <r>
      <rPr>
        <sz val="8"/>
        <color rgb="FF000000"/>
        <rFont val="Arial"/>
        <family val="2"/>
      </rPr>
      <t>16.17, 23, 24</t>
    </r>
  </si>
  <si>
    <t>Buckling Lab</t>
  </si>
  <si>
    <t>Buckling Pre-Lab</t>
  </si>
  <si>
    <t xml:space="preserve">GR 3 Review </t>
  </si>
  <si>
    <t>Buckling Post-Lab</t>
  </si>
  <si>
    <t xml:space="preserve">End of Course Survey and Final Review </t>
  </si>
  <si>
    <t>* Syllabus is subject to change by the Course Director</t>
  </si>
  <si>
    <t>St Venant's Principle, Stress Concentration Factor (Axial Loading)</t>
  </si>
  <si>
    <t>Columns Buckling: Euler’s Formula</t>
  </si>
  <si>
    <t>Mechanical Engineering 330 - Mechanics of Deformable Bodies - Schedule - Spring 2026 *</t>
  </si>
  <si>
    <t xml:space="preserve">Statically Indeterminate Beam Deflection </t>
  </si>
  <si>
    <t>S8.1-3</t>
  </si>
  <si>
    <t>HW Set 10,                          15.5, 15.39, 15.55</t>
  </si>
  <si>
    <t>Practice Statically Indeterminate Beam Deflection</t>
  </si>
  <si>
    <t>Practice Beam Deflection: Statically Determinate</t>
  </si>
  <si>
    <t xml:space="preserve">Combined Loading II. Vector Cross Products </t>
  </si>
  <si>
    <t>Combined Loading III. Combined Loads Practice</t>
  </si>
  <si>
    <t>GR 1:  Lessons 1-8</t>
  </si>
  <si>
    <t>Determination of the Shearing Stress in a Beam in Bending</t>
  </si>
  <si>
    <r>
      <rPr>
        <b/>
        <sz val="8"/>
        <color rgb="FF000000"/>
        <rFont val="Arial"/>
        <family val="2"/>
      </rPr>
      <t>Problems: Supplemental</t>
    </r>
    <r>
      <rPr>
        <sz val="8"/>
        <color rgb="FF000000"/>
        <rFont val="Arial"/>
        <family val="2"/>
      </rPr>
      <t xml:space="preserve"> (S8.5, 31, 41, 42)</t>
    </r>
  </si>
  <si>
    <r>
      <t xml:space="preserve">Problems: </t>
    </r>
    <r>
      <rPr>
        <sz val="8"/>
        <color rgb="FF000000"/>
        <rFont val="Arial"/>
        <family val="2"/>
      </rPr>
      <t>12.1 - 4, 7, 10, 18</t>
    </r>
  </si>
  <si>
    <r>
      <t>Problems:</t>
    </r>
    <r>
      <rPr>
        <sz val="8"/>
        <color rgb="FF000000"/>
        <rFont val="Arial"/>
        <family val="2"/>
      </rPr>
      <t xml:space="preserve"> 14.2, 5, 9, 16, 20</t>
    </r>
  </si>
  <si>
    <t>Assignment Due T day at 2359</t>
  </si>
  <si>
    <r>
      <t>Project 1  B-52 flap linkage                                    Problems:</t>
    </r>
    <r>
      <rPr>
        <sz val="8"/>
        <color rgb="FF000000"/>
        <rFont val="Arial"/>
        <family val="2"/>
      </rPr>
      <t xml:space="preserve"> 9.21, 29, 30, 34</t>
    </r>
  </si>
  <si>
    <r>
      <t>Introduce Project 2                                                 Problems:</t>
    </r>
    <r>
      <rPr>
        <sz val="8"/>
        <color rgb="FF000000"/>
        <rFont val="Arial"/>
        <family val="2"/>
      </rPr>
      <t xml:space="preserve"> 11.73, 78, 80</t>
    </r>
  </si>
  <si>
    <t>GR 2 Lessons 9-21</t>
  </si>
  <si>
    <r>
      <rPr>
        <b/>
        <sz val="8"/>
        <color rgb="FF000000"/>
        <rFont val="Arial"/>
        <family val="2"/>
      </rPr>
      <t xml:space="preserve">Introduce Project 3                                                       Problems: Supplemental </t>
    </r>
    <r>
      <rPr>
        <sz val="8"/>
        <color rgb="FF000000"/>
        <rFont val="Arial"/>
        <family val="2"/>
      </rPr>
      <t>(S8.5, 31, 41, 42)</t>
    </r>
  </si>
  <si>
    <t>GR 3 Lessons 23-35</t>
  </si>
  <si>
    <t>Source of Points</t>
  </si>
  <si>
    <t>Value</t>
  </si>
  <si>
    <t>Percent of Total</t>
  </si>
  <si>
    <t>Final Exam</t>
  </si>
  <si>
    <t>Homework (10 @ 10 pts/ea)</t>
  </si>
  <si>
    <t>3 Graded Reviews (3 @ 100 ea)</t>
  </si>
  <si>
    <t>3 Projects (60, 70, 70)</t>
  </si>
  <si>
    <t>2 Labs (50, 50)</t>
  </si>
  <si>
    <t>Total</t>
  </si>
  <si>
    <t>Individual proficiency &gt; 60%</t>
  </si>
  <si>
    <t>Lab partner assessment</t>
  </si>
  <si>
    <t>3.1C - 3.1F</t>
  </si>
  <si>
    <r>
      <t>Problems</t>
    </r>
    <r>
      <rPr>
        <sz val="8"/>
        <color rgb="FF000000"/>
        <rFont val="Arial"/>
        <family val="2"/>
      </rPr>
      <t>: 3.13, 3.14, 3.19, S8.69</t>
    </r>
  </si>
  <si>
    <t xml:space="preserve">3.1C - 3.1F, Supplemental Material S8.1-3 </t>
  </si>
  <si>
    <t>HW Set 9,                          3.14, S8.31, S8.69</t>
  </si>
  <si>
    <r>
      <t xml:space="preserve">Knowledge surveys </t>
    </r>
    <r>
      <rPr>
        <sz val="8"/>
        <color rgb="FF000000"/>
        <rFont val="Times New Roman"/>
        <family val="1"/>
      </rPr>
      <t>(3 pairs, 5 each)</t>
    </r>
  </si>
  <si>
    <r>
      <rPr>
        <b/>
        <i/>
        <sz val="8"/>
        <color rgb="FF000000"/>
        <rFont val="Arial"/>
        <family val="2"/>
      </rPr>
      <t>Fundamental Skills Review,</t>
    </r>
    <r>
      <rPr>
        <sz val="8"/>
        <color rgb="FF000000"/>
        <rFont val="Arial"/>
        <family val="2"/>
      </rPr>
      <t xml:space="preserve">        Connect Orientation</t>
    </r>
    <r>
      <rPr>
        <i/>
        <sz val="8"/>
        <color rgb="FF000000"/>
        <rFont val="Arial"/>
        <family val="2"/>
      </rPr>
      <t xml:space="preserve">,                                     </t>
    </r>
    <r>
      <rPr>
        <b/>
        <i/>
        <sz val="8"/>
        <color rgb="FF000000"/>
        <rFont val="Arial"/>
        <family val="2"/>
      </rPr>
      <t>Problems</t>
    </r>
    <r>
      <rPr>
        <b/>
        <sz val="8"/>
        <color rgb="FF000000"/>
        <rFont val="Arial"/>
        <family val="2"/>
      </rPr>
      <t xml:space="preserve">: </t>
    </r>
    <r>
      <rPr>
        <sz val="8"/>
        <color rgb="FF000000"/>
        <rFont val="Arial"/>
        <family val="2"/>
      </rPr>
      <t>8.1,</t>
    </r>
    <r>
      <rPr>
        <sz val="8"/>
        <color rgb="FFFF0000"/>
        <rFont val="Arial"/>
        <family val="2"/>
      </rPr>
      <t xml:space="preserve"> </t>
    </r>
    <r>
      <rPr>
        <sz val="8"/>
        <color theme="1"/>
        <rFont val="Arial"/>
        <family val="2"/>
      </rPr>
      <t>2</t>
    </r>
    <r>
      <rPr>
        <sz val="8"/>
        <color rgb="FF000000"/>
        <rFont val="Arial"/>
        <family val="2"/>
      </rPr>
      <t>, 3, 5, 7</t>
    </r>
  </si>
  <si>
    <t>HW Set 5,
11.80, 12.7, 12.18</t>
  </si>
  <si>
    <t>Combined Loading
Post-Lab</t>
  </si>
  <si>
    <r>
      <t>Fundamental Skills Review
Pre-KS</t>
    </r>
    <r>
      <rPr>
        <sz val="8"/>
        <color rgb="FF000000"/>
        <rFont val="Calibri"/>
        <family val="2"/>
      </rPr>
      <t>†</t>
    </r>
    <r>
      <rPr>
        <sz val="8"/>
        <color rgb="FF000000"/>
        <rFont val="Arial"/>
        <family val="2"/>
      </rPr>
      <t xml:space="preserve"> #1</t>
    </r>
  </si>
  <si>
    <t>HW Set 3,
9.49, 9.55, 9.71
Post-KS† #1, Pre-KS† #2</t>
  </si>
  <si>
    <r>
      <rPr>
        <b/>
        <i/>
        <sz val="8"/>
        <color rgb="FF000000"/>
        <rFont val="Arial"/>
        <family val="2"/>
      </rPr>
      <t>Project 2</t>
    </r>
    <r>
      <rPr>
        <sz val="8"/>
        <color rgb="FF000000"/>
        <rFont val="Arial"/>
        <family val="2"/>
      </rPr>
      <t>, Post-KS† #2</t>
    </r>
  </si>
  <si>
    <t>Pre-KS† #3</t>
  </si>
  <si>
    <r>
      <t>Project 3</t>
    </r>
    <r>
      <rPr>
        <sz val="8"/>
        <color rgb="FF000000"/>
        <rFont val="Arial"/>
        <family val="2"/>
      </rPr>
      <t>, Post-KS† #3</t>
    </r>
  </si>
  <si>
    <t>†KS - Knowledge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</si>
</sst>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0"/>
      <color rgb="FF000000"/>
      <name val="Times New Roman"/>
      <charset val="204"/>
    </font>
    <font>
      <b/>
      <sz val="9"/>
      <name val="Times New Roman"/>
      <family val="1"/>
    </font>
    <font>
      <sz val="10"/>
      <color rgb="FF000000"/>
      <name val="Times New Roman"/>
      <family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i/>
      <sz val="8"/>
      <color rgb="FF000000"/>
      <name val="Arial"/>
      <family val="2"/>
    </font>
    <font>
      <sz val="8"/>
      <color rgb="FF008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8"/>
      <name val="Arial"/>
      <family val="2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71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textRotation="90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 textRotation="90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4"/>
  <sheetViews>
    <sheetView tabSelected="1" topLeftCell="A28" zoomScaleNormal="100" workbookViewId="0">
      <selection activeCell="G37" sqref="G37"/>
    </sheetView>
  </sheetViews>
  <sheetFormatPr defaultColWidth="9.35546875" defaultRowHeight="13.15" x14ac:dyDescent="0.4"/>
  <cols>
    <col min="1" max="2" width="8.140625" style="1" customWidth="1"/>
    <col min="3" max="3" width="33.5" style="1" customWidth="1"/>
    <col min="4" max="4" width="21.140625" style="1" customWidth="1"/>
    <col min="5" max="5" width="29" style="1" customWidth="1"/>
    <col min="6" max="6" width="21.140625" style="1" customWidth="1"/>
    <col min="7" max="7" width="9.35546875" style="1"/>
    <col min="8" max="8" width="11.5" style="1" customWidth="1"/>
    <col min="9" max="10" width="9.35546875" style="1"/>
    <col min="11" max="11" width="3.140625" style="1" customWidth="1"/>
    <col min="12" max="14" width="9.35546875" style="1"/>
    <col min="15" max="15" width="30.5" style="1" customWidth="1"/>
    <col min="16" max="16" width="20.5" style="1" customWidth="1"/>
    <col min="17" max="17" width="13.85546875" style="1" customWidth="1"/>
    <col min="18" max="18" width="17.640625" style="1" customWidth="1"/>
    <col min="19" max="16384" width="9.35546875" style="1"/>
  </cols>
  <sheetData>
    <row r="1" spans="1:13" x14ac:dyDescent="0.4">
      <c r="A1" s="62" t="s">
        <v>108</v>
      </c>
      <c r="B1" s="63"/>
      <c r="C1" s="63"/>
      <c r="D1" s="63"/>
      <c r="E1" s="63"/>
      <c r="F1" s="64"/>
      <c r="G1" s="52"/>
      <c r="H1" s="52"/>
      <c r="I1" s="52"/>
      <c r="J1" s="52"/>
      <c r="K1" s="53"/>
      <c r="L1" s="52"/>
      <c r="M1" s="17"/>
    </row>
    <row r="2" spans="1:13" ht="20.25" x14ac:dyDescent="0.4">
      <c r="A2" s="2" t="s">
        <v>0</v>
      </c>
      <c r="B2" s="65" t="s">
        <v>1</v>
      </c>
      <c r="C2" s="65"/>
      <c r="D2" s="2" t="s">
        <v>2</v>
      </c>
      <c r="E2" s="2" t="s">
        <v>3</v>
      </c>
      <c r="F2" s="2" t="s">
        <v>121</v>
      </c>
      <c r="G2" s="54"/>
      <c r="H2" s="55"/>
      <c r="I2" s="56"/>
      <c r="J2" s="56"/>
      <c r="K2" s="56"/>
      <c r="L2" s="54"/>
    </row>
    <row r="3" spans="1:13" ht="30.4" x14ac:dyDescent="0.4">
      <c r="A3" s="3">
        <v>1</v>
      </c>
      <c r="B3" s="4" t="s">
        <v>4</v>
      </c>
      <c r="C3" s="5" t="s">
        <v>5</v>
      </c>
      <c r="D3" s="3" t="s">
        <v>6</v>
      </c>
      <c r="E3" s="6" t="s">
        <v>143</v>
      </c>
      <c r="F3" s="13"/>
      <c r="G3" s="56"/>
      <c r="H3" s="56"/>
      <c r="I3" s="56"/>
      <c r="J3" s="56"/>
      <c r="K3" s="56"/>
      <c r="L3" s="56"/>
    </row>
    <row r="4" spans="1:13" ht="39.75" x14ac:dyDescent="0.4">
      <c r="A4" s="3">
        <v>2</v>
      </c>
      <c r="B4" s="15" t="s">
        <v>7</v>
      </c>
      <c r="C4" s="7" t="s">
        <v>8</v>
      </c>
      <c r="D4" s="3" t="s">
        <v>9</v>
      </c>
      <c r="E4" s="2" t="s">
        <v>10</v>
      </c>
      <c r="F4" s="12" t="s">
        <v>11</v>
      </c>
      <c r="G4" s="56"/>
      <c r="H4" s="56"/>
      <c r="I4" s="56"/>
      <c r="J4" s="56"/>
      <c r="K4" s="56"/>
      <c r="L4" s="56"/>
    </row>
    <row r="5" spans="1:13" ht="20.65" x14ac:dyDescent="0.4">
      <c r="A5" s="3">
        <v>3</v>
      </c>
      <c r="B5" s="66" t="s">
        <v>12</v>
      </c>
      <c r="C5" s="7" t="s">
        <v>13</v>
      </c>
      <c r="D5" s="3" t="s">
        <v>14</v>
      </c>
      <c r="E5" s="2" t="s">
        <v>122</v>
      </c>
      <c r="F5" s="3" t="s">
        <v>146</v>
      </c>
      <c r="G5" s="56"/>
      <c r="H5" s="56"/>
      <c r="I5" s="56"/>
      <c r="J5" s="56"/>
      <c r="K5" s="56"/>
      <c r="L5" s="56"/>
    </row>
    <row r="6" spans="1:13" ht="20.25" x14ac:dyDescent="0.4">
      <c r="A6" s="3">
        <v>4</v>
      </c>
      <c r="B6" s="67"/>
      <c r="C6" s="7" t="s">
        <v>16</v>
      </c>
      <c r="D6" s="3" t="s">
        <v>17</v>
      </c>
      <c r="E6" s="3" t="s">
        <v>18</v>
      </c>
      <c r="F6" s="3" t="s">
        <v>19</v>
      </c>
      <c r="G6" s="56"/>
      <c r="H6" s="56"/>
      <c r="I6" s="56"/>
      <c r="J6" s="56"/>
      <c r="K6" s="56"/>
      <c r="L6" s="56"/>
    </row>
    <row r="7" spans="1:13" x14ac:dyDescent="0.4">
      <c r="A7" s="3">
        <v>5</v>
      </c>
      <c r="B7" s="67"/>
      <c r="C7" s="7" t="s">
        <v>20</v>
      </c>
      <c r="D7" s="3" t="s">
        <v>21</v>
      </c>
      <c r="E7" s="14" t="s">
        <v>22</v>
      </c>
      <c r="F7" s="13"/>
      <c r="G7" s="56"/>
      <c r="H7" s="56"/>
      <c r="I7" s="56"/>
      <c r="J7" s="56"/>
      <c r="K7" s="56"/>
      <c r="L7" s="56"/>
    </row>
    <row r="8" spans="1:13" ht="20.25" x14ac:dyDescent="0.4">
      <c r="A8" s="3">
        <v>6</v>
      </c>
      <c r="B8" s="67"/>
      <c r="C8" s="7" t="s">
        <v>23</v>
      </c>
      <c r="D8" s="3" t="s">
        <v>24</v>
      </c>
      <c r="E8" s="2" t="s">
        <v>25</v>
      </c>
      <c r="F8" s="3" t="s">
        <v>26</v>
      </c>
      <c r="G8" s="56"/>
      <c r="H8" s="56"/>
      <c r="I8" s="56"/>
      <c r="J8" s="56"/>
      <c r="K8" s="56"/>
      <c r="L8" s="56"/>
    </row>
    <row r="9" spans="1:13" ht="20.25" x14ac:dyDescent="0.4">
      <c r="A9" s="3">
        <v>7</v>
      </c>
      <c r="B9" s="68"/>
      <c r="C9" s="7" t="s">
        <v>106</v>
      </c>
      <c r="D9" s="3" t="s">
        <v>27</v>
      </c>
      <c r="E9" s="2" t="s">
        <v>28</v>
      </c>
      <c r="F9" s="12"/>
      <c r="G9" s="56"/>
      <c r="H9" s="56"/>
      <c r="I9" s="56"/>
      <c r="J9" s="56"/>
      <c r="K9" s="56"/>
      <c r="L9" s="56"/>
    </row>
    <row r="10" spans="1:13" ht="32.25" x14ac:dyDescent="0.4">
      <c r="A10" s="3">
        <v>8</v>
      </c>
      <c r="B10" s="4" t="s">
        <v>29</v>
      </c>
      <c r="C10" s="7" t="s">
        <v>30</v>
      </c>
      <c r="D10" s="3" t="s">
        <v>31</v>
      </c>
      <c r="E10" s="2" t="s">
        <v>32</v>
      </c>
      <c r="F10" s="3" t="s">
        <v>147</v>
      </c>
      <c r="G10" s="56"/>
      <c r="H10" s="56"/>
      <c r="I10" s="56"/>
      <c r="J10" s="56"/>
      <c r="K10" s="56"/>
      <c r="L10" s="56"/>
    </row>
    <row r="11" spans="1:13" ht="40.5" customHeight="1" x14ac:dyDescent="0.4">
      <c r="A11" s="3">
        <v>9</v>
      </c>
      <c r="B11" s="4" t="s">
        <v>33</v>
      </c>
      <c r="C11" s="7" t="s">
        <v>34</v>
      </c>
      <c r="D11" s="3" t="s">
        <v>35</v>
      </c>
      <c r="E11" s="2" t="s">
        <v>36</v>
      </c>
      <c r="F11" s="8"/>
      <c r="G11" s="56"/>
      <c r="H11" s="56"/>
      <c r="I11" s="56"/>
      <c r="J11" s="56"/>
      <c r="K11" s="56"/>
      <c r="L11" s="56"/>
    </row>
    <row r="12" spans="1:13" x14ac:dyDescent="0.4">
      <c r="A12" s="19">
        <v>10</v>
      </c>
      <c r="B12" s="27"/>
      <c r="C12" s="21" t="s">
        <v>116</v>
      </c>
      <c r="D12" s="22"/>
      <c r="E12" s="22"/>
      <c r="F12" s="22"/>
      <c r="G12" s="57"/>
      <c r="H12" s="56"/>
      <c r="I12" s="56"/>
      <c r="J12" s="56"/>
      <c r="K12" s="56"/>
      <c r="L12" s="57"/>
    </row>
    <row r="13" spans="1:13" ht="20.25" x14ac:dyDescent="0.4">
      <c r="A13" s="3">
        <v>11</v>
      </c>
      <c r="B13" s="66" t="s">
        <v>33</v>
      </c>
      <c r="C13" s="7" t="s">
        <v>37</v>
      </c>
      <c r="D13" s="3" t="s">
        <v>38</v>
      </c>
      <c r="E13" s="3" t="s">
        <v>39</v>
      </c>
      <c r="F13" s="12"/>
      <c r="G13" s="56"/>
      <c r="H13" s="56"/>
      <c r="I13" s="56"/>
      <c r="J13" s="57"/>
      <c r="K13" s="56"/>
      <c r="L13" s="56"/>
    </row>
    <row r="14" spans="1:13" ht="20.25" x14ac:dyDescent="0.4">
      <c r="A14" s="3">
        <v>12</v>
      </c>
      <c r="B14" s="67"/>
      <c r="C14" s="5" t="s">
        <v>41</v>
      </c>
      <c r="D14" s="3" t="s">
        <v>42</v>
      </c>
      <c r="E14" s="2" t="s">
        <v>123</v>
      </c>
      <c r="F14" s="8" t="s">
        <v>40</v>
      </c>
      <c r="G14" s="56"/>
      <c r="H14" s="56"/>
      <c r="I14" s="56"/>
      <c r="J14" s="56"/>
      <c r="K14" s="56"/>
      <c r="L14" s="56"/>
    </row>
    <row r="15" spans="1:13" ht="20.25" x14ac:dyDescent="0.4">
      <c r="A15" s="3">
        <v>13</v>
      </c>
      <c r="B15" s="67"/>
      <c r="C15" s="7" t="s">
        <v>44</v>
      </c>
      <c r="D15" s="3" t="s">
        <v>45</v>
      </c>
      <c r="E15" s="2" t="s">
        <v>119</v>
      </c>
      <c r="F15" s="3" t="s">
        <v>43</v>
      </c>
      <c r="G15" s="56"/>
      <c r="H15" s="56"/>
      <c r="I15" s="56"/>
      <c r="J15" s="56"/>
      <c r="K15" s="56"/>
      <c r="L15" s="56"/>
    </row>
    <row r="16" spans="1:13" ht="20.25" x14ac:dyDescent="0.4">
      <c r="A16" s="3">
        <v>14</v>
      </c>
      <c r="B16" s="67"/>
      <c r="C16" s="7" t="s">
        <v>46</v>
      </c>
      <c r="D16" s="3" t="s">
        <v>47</v>
      </c>
      <c r="E16" s="2" t="s">
        <v>48</v>
      </c>
      <c r="F16" s="12"/>
      <c r="G16" s="56"/>
      <c r="H16" s="56"/>
      <c r="I16" s="56"/>
      <c r="J16" s="56"/>
      <c r="K16" s="56"/>
      <c r="L16" s="56"/>
    </row>
    <row r="17" spans="1:17" ht="20.25" x14ac:dyDescent="0.4">
      <c r="A17" s="3">
        <v>15</v>
      </c>
      <c r="B17" s="67"/>
      <c r="C17" s="7" t="s">
        <v>49</v>
      </c>
      <c r="D17" s="3" t="s">
        <v>50</v>
      </c>
      <c r="E17" s="2"/>
      <c r="F17" s="3" t="s">
        <v>144</v>
      </c>
      <c r="G17" s="56"/>
      <c r="H17" s="56"/>
      <c r="I17" s="56"/>
      <c r="J17" s="56"/>
      <c r="K17" s="56"/>
      <c r="L17" s="56"/>
    </row>
    <row r="18" spans="1:17" ht="20.25" x14ac:dyDescent="0.4">
      <c r="A18" s="3">
        <v>16</v>
      </c>
      <c r="B18" s="68"/>
      <c r="C18" s="7" t="s">
        <v>117</v>
      </c>
      <c r="D18" s="3" t="s">
        <v>51</v>
      </c>
      <c r="E18" s="2" t="s">
        <v>52</v>
      </c>
      <c r="F18" s="12"/>
      <c r="G18" s="56"/>
      <c r="H18" s="56"/>
      <c r="I18" s="56"/>
      <c r="J18" s="56"/>
      <c r="K18" s="56"/>
      <c r="L18" s="56"/>
    </row>
    <row r="19" spans="1:17" ht="20.25" x14ac:dyDescent="0.4">
      <c r="A19" s="3">
        <v>17</v>
      </c>
      <c r="B19" s="66" t="s">
        <v>53</v>
      </c>
      <c r="C19" s="5" t="s">
        <v>54</v>
      </c>
      <c r="D19" s="3" t="s">
        <v>55</v>
      </c>
      <c r="E19" s="3" t="s">
        <v>56</v>
      </c>
      <c r="F19" s="3" t="s">
        <v>57</v>
      </c>
      <c r="G19" s="56"/>
      <c r="H19" s="56"/>
      <c r="I19" s="56"/>
      <c r="J19" s="56"/>
      <c r="K19" s="56"/>
      <c r="L19" s="56"/>
    </row>
    <row r="20" spans="1:17" x14ac:dyDescent="0.4">
      <c r="A20" s="3">
        <v>18</v>
      </c>
      <c r="B20" s="67"/>
      <c r="C20" s="5" t="s">
        <v>58</v>
      </c>
      <c r="D20" s="3" t="s">
        <v>59</v>
      </c>
      <c r="E20" s="2" t="s">
        <v>120</v>
      </c>
      <c r="F20" s="8"/>
      <c r="G20" s="56"/>
      <c r="H20" s="56"/>
      <c r="I20" s="56"/>
      <c r="J20" s="56"/>
      <c r="K20" s="56"/>
      <c r="L20" s="56"/>
    </row>
    <row r="21" spans="1:17" ht="20.25" x14ac:dyDescent="0.4">
      <c r="A21" s="3">
        <v>19</v>
      </c>
      <c r="B21" s="67"/>
      <c r="C21" s="7" t="s">
        <v>60</v>
      </c>
      <c r="D21" s="3" t="s">
        <v>61</v>
      </c>
      <c r="E21" s="3" t="s">
        <v>62</v>
      </c>
      <c r="F21" s="8"/>
      <c r="G21" s="56"/>
      <c r="H21" s="56"/>
      <c r="I21" s="56"/>
      <c r="J21" s="56"/>
      <c r="K21" s="56"/>
      <c r="L21" s="56"/>
    </row>
    <row r="22" spans="1:17" x14ac:dyDescent="0.4">
      <c r="A22" s="3">
        <v>20</v>
      </c>
      <c r="B22" s="67"/>
      <c r="C22" s="7" t="s">
        <v>63</v>
      </c>
      <c r="D22" s="3" t="s">
        <v>64</v>
      </c>
      <c r="E22" s="2" t="s">
        <v>65</v>
      </c>
      <c r="F22" s="3" t="s">
        <v>148</v>
      </c>
      <c r="G22" s="56"/>
      <c r="H22" s="56"/>
      <c r="I22" s="56"/>
      <c r="J22" s="56"/>
      <c r="K22" s="56"/>
      <c r="L22" s="56"/>
    </row>
    <row r="23" spans="1:17" ht="20.25" x14ac:dyDescent="0.4">
      <c r="A23" s="3">
        <v>21</v>
      </c>
      <c r="B23" s="67"/>
      <c r="C23" s="5" t="s">
        <v>66</v>
      </c>
      <c r="D23" s="3" t="s">
        <v>67</v>
      </c>
      <c r="E23" s="2" t="s">
        <v>68</v>
      </c>
      <c r="F23" s="3" t="s">
        <v>69</v>
      </c>
      <c r="G23" s="56"/>
      <c r="H23" s="56"/>
      <c r="I23" s="56"/>
      <c r="J23" s="56"/>
      <c r="K23" s="56"/>
      <c r="L23" s="56"/>
    </row>
    <row r="24" spans="1:17" x14ac:dyDescent="0.4">
      <c r="A24" s="19">
        <v>22</v>
      </c>
      <c r="B24" s="24"/>
      <c r="C24" s="21" t="s">
        <v>124</v>
      </c>
      <c r="D24" s="25"/>
      <c r="E24" s="28"/>
      <c r="F24" s="25"/>
      <c r="G24" s="56"/>
      <c r="H24" s="56"/>
      <c r="I24" s="56"/>
      <c r="J24" s="56"/>
      <c r="K24" s="56"/>
      <c r="L24" s="56"/>
    </row>
    <row r="25" spans="1:17" ht="42.75" x14ac:dyDescent="0.4">
      <c r="A25" s="9">
        <v>23</v>
      </c>
      <c r="B25" s="11" t="s">
        <v>70</v>
      </c>
      <c r="C25" s="7" t="s">
        <v>71</v>
      </c>
      <c r="D25" s="3" t="s">
        <v>72</v>
      </c>
      <c r="E25" s="3" t="s">
        <v>73</v>
      </c>
      <c r="F25" s="69" t="s">
        <v>149</v>
      </c>
      <c r="G25" s="56"/>
      <c r="H25" s="56"/>
      <c r="I25" s="56"/>
      <c r="J25" s="56"/>
      <c r="K25" s="56"/>
      <c r="L25" s="56"/>
      <c r="P25" s="18"/>
      <c r="Q25" s="18"/>
    </row>
    <row r="26" spans="1:17" x14ac:dyDescent="0.4">
      <c r="A26" s="3">
        <v>24</v>
      </c>
      <c r="C26" s="5" t="s">
        <v>75</v>
      </c>
      <c r="D26" s="12">
        <v>14.3</v>
      </c>
      <c r="E26" s="2" t="s">
        <v>76</v>
      </c>
      <c r="F26" s="13"/>
      <c r="G26" s="56"/>
      <c r="H26" s="56"/>
      <c r="I26" s="56"/>
      <c r="J26" s="56"/>
      <c r="K26" s="56"/>
      <c r="L26" s="56"/>
      <c r="N26" s="30"/>
      <c r="O26" s="31"/>
    </row>
    <row r="27" spans="1:17" ht="30.4" x14ac:dyDescent="0.4">
      <c r="A27" s="3">
        <v>25</v>
      </c>
      <c r="B27" s="66" t="s">
        <v>74</v>
      </c>
      <c r="C27" s="7" t="s">
        <v>77</v>
      </c>
      <c r="D27" s="26" t="s">
        <v>110</v>
      </c>
      <c r="E27" s="3" t="s">
        <v>125</v>
      </c>
      <c r="F27" s="3" t="s">
        <v>78</v>
      </c>
      <c r="G27" s="56"/>
      <c r="H27" s="56"/>
      <c r="I27" s="56"/>
      <c r="J27" s="56"/>
      <c r="K27" s="56"/>
      <c r="L27" s="56"/>
      <c r="N27" s="30"/>
      <c r="O27" s="32"/>
      <c r="P27" s="18"/>
    </row>
    <row r="28" spans="1:17" x14ac:dyDescent="0.4">
      <c r="A28" s="3">
        <v>26</v>
      </c>
      <c r="B28" s="67"/>
      <c r="C28" s="7" t="s">
        <v>114</v>
      </c>
      <c r="D28" s="50" t="s">
        <v>138</v>
      </c>
      <c r="E28" s="2" t="s">
        <v>139</v>
      </c>
      <c r="F28" s="3"/>
      <c r="G28" s="56"/>
      <c r="H28" s="56"/>
      <c r="I28" s="56"/>
      <c r="J28" s="56"/>
      <c r="K28" s="56"/>
      <c r="L28" s="56"/>
      <c r="N28" s="30"/>
      <c r="O28" s="32"/>
      <c r="P28" s="20"/>
    </row>
    <row r="29" spans="1:17" ht="20.25" x14ac:dyDescent="0.4">
      <c r="A29" s="3">
        <v>27</v>
      </c>
      <c r="B29" s="67"/>
      <c r="C29" s="7" t="s">
        <v>115</v>
      </c>
      <c r="D29" s="50" t="s">
        <v>140</v>
      </c>
      <c r="E29" s="3" t="s">
        <v>118</v>
      </c>
      <c r="F29" s="12"/>
      <c r="G29" s="56"/>
      <c r="H29" s="56"/>
      <c r="I29" s="56"/>
      <c r="J29" s="56"/>
      <c r="K29" s="56"/>
      <c r="L29" s="56"/>
      <c r="N29" s="30"/>
      <c r="O29" s="32"/>
      <c r="P29" s="10"/>
    </row>
    <row r="30" spans="1:17" x14ac:dyDescent="0.4">
      <c r="A30" s="3">
        <v>28</v>
      </c>
      <c r="B30" s="67"/>
      <c r="C30" s="7" t="s">
        <v>79</v>
      </c>
      <c r="D30" s="3" t="s">
        <v>80</v>
      </c>
      <c r="E30" s="13"/>
      <c r="F30" s="8" t="s">
        <v>81</v>
      </c>
      <c r="G30" s="56"/>
      <c r="H30" s="56"/>
      <c r="I30" s="56"/>
      <c r="J30" s="56"/>
      <c r="K30" s="56"/>
      <c r="L30" s="56"/>
      <c r="N30" s="30"/>
      <c r="O30" s="32"/>
      <c r="P30" s="10"/>
    </row>
    <row r="31" spans="1:17" ht="20.25" x14ac:dyDescent="0.4">
      <c r="A31" s="3">
        <v>29</v>
      </c>
      <c r="B31" s="29" t="s">
        <v>91</v>
      </c>
      <c r="C31" s="7" t="s">
        <v>92</v>
      </c>
      <c r="D31" s="3" t="s">
        <v>93</v>
      </c>
      <c r="F31" s="8" t="s">
        <v>145</v>
      </c>
      <c r="G31" s="56"/>
      <c r="H31" s="56"/>
      <c r="I31" s="56"/>
      <c r="J31" s="56"/>
      <c r="K31" s="56"/>
      <c r="L31" s="56"/>
      <c r="N31" s="30"/>
      <c r="O31" s="32"/>
      <c r="P31" s="10"/>
    </row>
    <row r="32" spans="1:17" ht="20.25" x14ac:dyDescent="0.4">
      <c r="A32" s="3">
        <v>30</v>
      </c>
      <c r="B32" s="66" t="s">
        <v>82</v>
      </c>
      <c r="C32" s="7" t="s">
        <v>83</v>
      </c>
      <c r="D32" s="3" t="s">
        <v>84</v>
      </c>
      <c r="E32" s="2" t="s">
        <v>85</v>
      </c>
      <c r="F32" s="14" t="s">
        <v>141</v>
      </c>
      <c r="G32" s="56"/>
      <c r="H32" s="56"/>
      <c r="I32" s="56"/>
      <c r="J32" s="56"/>
      <c r="K32" s="56"/>
      <c r="L32" s="56"/>
      <c r="N32" s="30"/>
      <c r="O32" s="32"/>
      <c r="P32" s="10"/>
    </row>
    <row r="33" spans="1:18" x14ac:dyDescent="0.4">
      <c r="A33" s="3">
        <v>31</v>
      </c>
      <c r="B33" s="67"/>
      <c r="C33" s="7" t="s">
        <v>87</v>
      </c>
      <c r="D33" s="3" t="s">
        <v>88</v>
      </c>
      <c r="E33" s="2" t="s">
        <v>89</v>
      </c>
      <c r="F33" s="12"/>
      <c r="G33" s="56"/>
      <c r="H33" s="56"/>
      <c r="I33" s="56"/>
      <c r="J33" s="56"/>
      <c r="K33" s="56"/>
      <c r="L33" s="56"/>
      <c r="N33" s="30"/>
      <c r="O33" s="32"/>
      <c r="P33" s="10"/>
    </row>
    <row r="34" spans="1:18" ht="20.25" x14ac:dyDescent="0.4">
      <c r="A34" s="3">
        <v>32</v>
      </c>
      <c r="B34" s="67"/>
      <c r="C34" s="7" t="s">
        <v>113</v>
      </c>
      <c r="D34" s="3" t="s">
        <v>90</v>
      </c>
      <c r="E34" s="2"/>
      <c r="F34" s="14"/>
      <c r="G34" s="56"/>
      <c r="H34" s="56"/>
      <c r="I34" s="56"/>
      <c r="J34" s="56"/>
      <c r="K34" s="56"/>
      <c r="L34" s="56"/>
      <c r="N34" s="10"/>
      <c r="O34" s="32"/>
      <c r="P34" s="10"/>
    </row>
    <row r="35" spans="1:18" x14ac:dyDescent="0.4">
      <c r="A35" s="3">
        <v>33</v>
      </c>
      <c r="B35" s="67"/>
      <c r="C35" s="7" t="s">
        <v>109</v>
      </c>
      <c r="D35" s="12">
        <v>15.2</v>
      </c>
      <c r="E35" s="2" t="s">
        <v>86</v>
      </c>
      <c r="F35" s="14"/>
      <c r="G35" s="56"/>
      <c r="H35" s="56"/>
      <c r="I35" s="56"/>
      <c r="J35" s="56"/>
      <c r="K35" s="56"/>
      <c r="L35" s="56"/>
      <c r="N35" s="10"/>
      <c r="O35" s="32"/>
      <c r="Q35" s="18"/>
    </row>
    <row r="36" spans="1:18" ht="20.25" x14ac:dyDescent="0.4">
      <c r="A36" s="3">
        <v>34</v>
      </c>
      <c r="B36" s="68"/>
      <c r="C36" s="7" t="s">
        <v>112</v>
      </c>
      <c r="D36" s="12">
        <v>15.2</v>
      </c>
      <c r="E36" s="2" t="s">
        <v>86</v>
      </c>
      <c r="F36" s="8" t="s">
        <v>150</v>
      </c>
      <c r="G36" s="56"/>
      <c r="H36" s="56"/>
      <c r="I36" s="56"/>
      <c r="J36" s="56"/>
      <c r="K36" s="56"/>
      <c r="L36" s="56"/>
      <c r="N36" s="10"/>
      <c r="O36" s="32"/>
      <c r="Q36" s="18"/>
    </row>
    <row r="37" spans="1:18" ht="20.25" x14ac:dyDescent="0.4">
      <c r="A37" s="3">
        <v>35</v>
      </c>
      <c r="B37" s="29" t="s">
        <v>4</v>
      </c>
      <c r="C37" s="7" t="s">
        <v>102</v>
      </c>
      <c r="D37" s="12"/>
      <c r="E37" s="13"/>
      <c r="F37" s="14" t="s">
        <v>111</v>
      </c>
      <c r="G37" s="56"/>
      <c r="H37" s="56"/>
      <c r="I37" s="56"/>
      <c r="J37" s="56"/>
      <c r="K37" s="56"/>
      <c r="L37" s="56"/>
      <c r="N37" s="10"/>
      <c r="O37" s="32"/>
      <c r="R37" s="33"/>
    </row>
    <row r="38" spans="1:18" x14ac:dyDescent="0.4">
      <c r="A38" s="19">
        <v>36</v>
      </c>
      <c r="B38" s="24"/>
      <c r="C38" s="21" t="s">
        <v>126</v>
      </c>
      <c r="D38" s="22"/>
      <c r="E38" s="25"/>
      <c r="F38" s="22"/>
      <c r="G38" s="56"/>
      <c r="H38" s="56"/>
      <c r="I38" s="56"/>
      <c r="J38" s="56"/>
      <c r="K38" s="56"/>
      <c r="L38" s="56"/>
      <c r="N38" s="10"/>
      <c r="O38" s="32"/>
    </row>
    <row r="39" spans="1:18" x14ac:dyDescent="0.4">
      <c r="A39" s="3">
        <v>37</v>
      </c>
      <c r="B39" s="66" t="s">
        <v>94</v>
      </c>
      <c r="C39" s="5" t="s">
        <v>107</v>
      </c>
      <c r="D39" s="3" t="s">
        <v>95</v>
      </c>
      <c r="E39" s="2" t="s">
        <v>96</v>
      </c>
      <c r="F39" s="12"/>
      <c r="G39" s="56"/>
      <c r="H39" s="56"/>
      <c r="I39" s="56"/>
      <c r="J39" s="56"/>
      <c r="K39" s="56"/>
      <c r="L39" s="56"/>
      <c r="N39" s="10"/>
      <c r="O39" s="31"/>
      <c r="P39" s="10"/>
    </row>
    <row r="40" spans="1:18" ht="20.25" x14ac:dyDescent="0.4">
      <c r="A40" s="3">
        <v>38</v>
      </c>
      <c r="B40" s="67"/>
      <c r="C40" s="7" t="s">
        <v>97</v>
      </c>
      <c r="D40" s="3" t="s">
        <v>98</v>
      </c>
      <c r="E40" s="2" t="s">
        <v>99</v>
      </c>
      <c r="F40" s="3"/>
      <c r="G40" s="56"/>
      <c r="H40" s="56"/>
      <c r="I40" s="56"/>
      <c r="J40" s="58"/>
      <c r="K40" s="56"/>
      <c r="L40" s="56"/>
      <c r="N40" s="10"/>
      <c r="O40" s="32"/>
      <c r="P40" s="10"/>
    </row>
    <row r="41" spans="1:18" x14ac:dyDescent="0.4">
      <c r="A41" s="3">
        <v>39</v>
      </c>
      <c r="B41" s="68"/>
      <c r="C41" s="7" t="s">
        <v>100</v>
      </c>
      <c r="D41" s="12"/>
      <c r="E41" s="2"/>
      <c r="F41" s="8" t="s">
        <v>101</v>
      </c>
      <c r="G41" s="56"/>
      <c r="H41" s="56"/>
      <c r="I41" s="56"/>
      <c r="J41" s="56"/>
      <c r="K41" s="56"/>
      <c r="L41" s="56"/>
      <c r="N41" s="10"/>
      <c r="O41" s="32"/>
      <c r="R41" s="34"/>
    </row>
    <row r="42" spans="1:18" x14ac:dyDescent="0.4">
      <c r="A42" s="3">
        <v>40</v>
      </c>
      <c r="B42" s="2" t="s">
        <v>4</v>
      </c>
      <c r="C42" s="7" t="s">
        <v>104</v>
      </c>
      <c r="D42" s="12"/>
      <c r="E42" s="3"/>
      <c r="F42" s="8" t="s">
        <v>103</v>
      </c>
      <c r="G42" s="56"/>
      <c r="H42" s="56"/>
      <c r="I42" s="56"/>
      <c r="J42" s="56"/>
      <c r="K42" s="56"/>
      <c r="L42" s="56"/>
      <c r="N42" s="10"/>
      <c r="O42" s="32"/>
      <c r="R42" s="34"/>
    </row>
    <row r="43" spans="1:18" x14ac:dyDescent="0.4">
      <c r="B43" s="10"/>
      <c r="C43" s="1" t="s">
        <v>105</v>
      </c>
      <c r="F43" s="70" t="s">
        <v>151</v>
      </c>
      <c r="G43" s="56"/>
      <c r="H43" s="56"/>
      <c r="I43" s="56"/>
      <c r="J43" s="56"/>
      <c r="K43" s="56"/>
      <c r="L43" s="56"/>
    </row>
    <row r="44" spans="1:18" ht="40.5" customHeight="1" thickBot="1" x14ac:dyDescent="0.45">
      <c r="G44" s="54"/>
      <c r="H44" s="54"/>
      <c r="I44" s="54"/>
      <c r="J44" s="54"/>
      <c r="K44" s="56"/>
      <c r="L44" s="54"/>
      <c r="M44" s="16"/>
      <c r="O44" s="18"/>
      <c r="P44" s="23"/>
    </row>
    <row r="45" spans="1:18" x14ac:dyDescent="0.4">
      <c r="C45" s="40" t="s">
        <v>127</v>
      </c>
      <c r="D45" s="41" t="s">
        <v>128</v>
      </c>
      <c r="E45" s="42" t="s">
        <v>129</v>
      </c>
      <c r="F45" s="43"/>
    </row>
    <row r="46" spans="1:18" x14ac:dyDescent="0.4">
      <c r="C46" s="44" t="s">
        <v>130</v>
      </c>
      <c r="D46" s="1">
        <v>250</v>
      </c>
      <c r="E46" s="36">
        <f t="shared" ref="E46:E53" si="0">D46/$D$54</f>
        <v>0.25</v>
      </c>
      <c r="F46" s="59" t="s">
        <v>136</v>
      </c>
    </row>
    <row r="47" spans="1:18" x14ac:dyDescent="0.4">
      <c r="C47" s="44" t="s">
        <v>132</v>
      </c>
      <c r="D47" s="1">
        <v>300</v>
      </c>
      <c r="E47" s="37">
        <f t="shared" si="0"/>
        <v>0.3</v>
      </c>
      <c r="F47" s="60"/>
    </row>
    <row r="48" spans="1:18" x14ac:dyDescent="0.4">
      <c r="C48" s="49" t="s">
        <v>15</v>
      </c>
      <c r="D48" s="1">
        <v>25</v>
      </c>
      <c r="E48" s="39">
        <f t="shared" si="0"/>
        <v>2.5000000000000001E-2</v>
      </c>
      <c r="F48" s="61"/>
    </row>
    <row r="49" spans="3:6" x14ac:dyDescent="0.4">
      <c r="C49" s="44" t="s">
        <v>131</v>
      </c>
      <c r="D49" s="1">
        <v>100</v>
      </c>
      <c r="E49" s="35">
        <f t="shared" si="0"/>
        <v>0.1</v>
      </c>
      <c r="F49" s="45"/>
    </row>
    <row r="50" spans="3:6" x14ac:dyDescent="0.4">
      <c r="C50" s="44" t="s">
        <v>133</v>
      </c>
      <c r="D50" s="1">
        <v>200</v>
      </c>
      <c r="E50" s="35">
        <f t="shared" si="0"/>
        <v>0.2</v>
      </c>
      <c r="F50" s="45"/>
    </row>
    <row r="51" spans="3:6" x14ac:dyDescent="0.4">
      <c r="C51" s="44" t="s">
        <v>134</v>
      </c>
      <c r="D51" s="1">
        <v>100</v>
      </c>
      <c r="E51" s="35">
        <f t="shared" si="0"/>
        <v>0.1</v>
      </c>
      <c r="F51" s="45"/>
    </row>
    <row r="52" spans="3:6" x14ac:dyDescent="0.4">
      <c r="C52" s="51" t="s">
        <v>142</v>
      </c>
      <c r="D52" s="1">
        <v>15</v>
      </c>
      <c r="E52" s="46">
        <f t="shared" si="0"/>
        <v>1.4999999999999999E-2</v>
      </c>
      <c r="F52" s="45"/>
    </row>
    <row r="53" spans="3:6" ht="13.5" thickBot="1" x14ac:dyDescent="0.45">
      <c r="C53" s="44" t="s">
        <v>137</v>
      </c>
      <c r="D53" s="38">
        <v>10</v>
      </c>
      <c r="E53" s="46">
        <f t="shared" si="0"/>
        <v>0.01</v>
      </c>
      <c r="F53" s="45"/>
    </row>
    <row r="54" spans="3:6" ht="13.5" thickBot="1" x14ac:dyDescent="0.45">
      <c r="C54" s="47" t="s">
        <v>135</v>
      </c>
      <c r="D54" s="38">
        <f>SUM(D46:D53)</f>
        <v>1000</v>
      </c>
      <c r="E54" s="38"/>
      <c r="F54" s="48"/>
    </row>
  </sheetData>
  <mergeCells count="9">
    <mergeCell ref="F46:F48"/>
    <mergeCell ref="A1:F1"/>
    <mergeCell ref="B2:C2"/>
    <mergeCell ref="B5:B9"/>
    <mergeCell ref="B19:B23"/>
    <mergeCell ref="B39:B41"/>
    <mergeCell ref="B13:B18"/>
    <mergeCell ref="B32:B36"/>
    <mergeCell ref="B27:B30"/>
  </mergeCells>
  <printOptions horizontalCentered="1"/>
  <pageMargins left="0.7" right="0.7" top="0.75" bottom="0.75" header="0.3" footer="0.3"/>
  <pageSetup scale="6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16C2C3282BDA4083C2C18873E3D9C9" ma:contentTypeVersion="10" ma:contentTypeDescription="Create a new document." ma:contentTypeScope="" ma:versionID="8f3a4e5a39dc2b2a3ec34fd351615f92">
  <xsd:schema xmlns:xsd="http://www.w3.org/2001/XMLSchema" xmlns:xs="http://www.w3.org/2001/XMLSchema" xmlns:p="http://schemas.microsoft.com/office/2006/metadata/properties" xmlns:ns2="d4bbc146-3ace-4bef-8418-b0037d3f9333" targetNamespace="http://schemas.microsoft.com/office/2006/metadata/properties" ma:root="true" ma:fieldsID="2da66a2386836397dd220c88c1a26859" ns2:_="">
    <xsd:import namespace="d4bbc146-3ace-4bef-8418-b0037d3f93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bc146-3ace-4bef-8418-b0037d3f9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bbc146-3ace-4bef-8418-b0037d3f93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F6BE3A-E960-4EE7-B831-0F202CDF9580}"/>
</file>

<file path=customXml/itemProps2.xml><?xml version="1.0" encoding="utf-8"?>
<ds:datastoreItem xmlns:ds="http://schemas.openxmlformats.org/officeDocument/2006/customXml" ds:itemID="{5591BFDD-498E-43CC-BE42-872F747E75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EBAA84-4D59-4E52-AECF-6CA38D5EDFF1}">
  <ds:schemaRefs>
    <ds:schemaRef ds:uri="http://purl.org/dc/dcmitype/"/>
    <ds:schemaRef ds:uri="d4bbc146-3ace-4bef-8418-b0037d3f9333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James.Westfall@usafa.edu</dc:creator>
  <cp:keywords/>
  <dc:description/>
  <cp:lastModifiedBy>Cope, Dale A</cp:lastModifiedBy>
  <cp:revision/>
  <cp:lastPrinted>2026-01-05T18:46:54Z</cp:lastPrinted>
  <dcterms:created xsi:type="dcterms:W3CDTF">2018-08-07T16:10:41Z</dcterms:created>
  <dcterms:modified xsi:type="dcterms:W3CDTF">2026-01-16T22:21:58Z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0x010100A716C2C3282BDA4083C2C18873E3D9C9</vt:lpwstr>
  </property>
  <property fmtid="{D5CDD505-2E9C-101B-9397-08002B2CF9AE}" pid="3" name="MediaServiceImageTags">
    <vt:lpwstr/>
  </property>
</Properties>
</file>